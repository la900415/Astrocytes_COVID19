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 Ariel\Downloads\Astrocitos_Mateus\xlsx\"/>
    </mc:Choice>
  </mc:AlternateContent>
  <xr:revisionPtr revIDLastSave="0" documentId="8_{C66B7CD3-405F-4570-8D2F-4F52E722AF42}" xr6:coauthVersionLast="47" xr6:coauthVersionMax="47" xr10:uidLastSave="{00000000-0000-0000-0000-000000000000}"/>
  <bookViews>
    <workbookView xWindow="3375" yWindow="2115" windowWidth="21600" windowHeight="11295" xr2:uid="{678FC48D-414A-4BC6-9EEE-A1812985A1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8" i="1" l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<sst xmlns="http://schemas.openxmlformats.org/spreadsheetml/2006/main" count="272" uniqueCount="93">
  <si>
    <t>sample_index</t>
  </si>
  <si>
    <t>sample_id</t>
  </si>
  <si>
    <t>shortname</t>
  </si>
  <si>
    <t>exclude</t>
  </si>
  <si>
    <t>group</t>
  </si>
  <si>
    <t>subject</t>
  </si>
  <si>
    <t>inf_age</t>
  </si>
  <si>
    <t>infection</t>
  </si>
  <si>
    <t>age</t>
  </si>
  <si>
    <t>age_years</t>
  </si>
  <si>
    <t>virus_strain</t>
  </si>
  <si>
    <t>sex</t>
  </si>
  <si>
    <t>covid_19</t>
  </si>
  <si>
    <t>ms_order</t>
  </si>
  <si>
    <t>prep_order</t>
  </si>
  <si>
    <t>detected_peptides</t>
  </si>
  <si>
    <t>detected_proteins</t>
  </si>
  <si>
    <t>OE01897_Astroc_DIA_AA15_dil1n2_250ng</t>
  </si>
  <si>
    <t>Ctrl5</t>
  </si>
  <si>
    <t>Ctrl</t>
  </si>
  <si>
    <t>Ctrl_a</t>
  </si>
  <si>
    <t>a</t>
  </si>
  <si>
    <t>M</t>
  </si>
  <si>
    <t>Critical</t>
  </si>
  <si>
    <t>OE01890_Astroc_DIA_AA18_dil1n2_250ng</t>
  </si>
  <si>
    <t>Ctrl6</t>
  </si>
  <si>
    <t>F</t>
  </si>
  <si>
    <t>OE01879_Astroc_DIA_AA21_dil1n2_250ng</t>
  </si>
  <si>
    <t>Ctrl7</t>
  </si>
  <si>
    <t>OE01903_Astroc_DIA_AA03_dil1n2_250ng</t>
  </si>
  <si>
    <t>Ctrl3</t>
  </si>
  <si>
    <t>Ctrl_c</t>
  </si>
  <si>
    <t>c</t>
  </si>
  <si>
    <t>Asymptomatic</t>
  </si>
  <si>
    <t>OE01901_Astroc_DIA_AA06_dil1n2_250ng</t>
  </si>
  <si>
    <t>Ctrl1</t>
  </si>
  <si>
    <t>Moderate</t>
  </si>
  <si>
    <t>OE01910_Astroc_DIA_AA09_dil1n2_250ng</t>
  </si>
  <si>
    <t>Ctrl2</t>
  </si>
  <si>
    <t>OE01899_Astroc_DIA_AA12_dil1n2_250ng</t>
  </si>
  <si>
    <t>Ctrl4</t>
  </si>
  <si>
    <t>Mild</t>
  </si>
  <si>
    <t>OE01923_Astroc_DIA_AA13_dil1n2_250ng</t>
  </si>
  <si>
    <t>Ga5</t>
  </si>
  <si>
    <t>Ga</t>
  </si>
  <si>
    <t>Inf_a</t>
  </si>
  <si>
    <t>Inf</t>
  </si>
  <si>
    <t>G</t>
  </si>
  <si>
    <t>OE01925_Astroc_DIA_AA16_dil1n2_250ng</t>
  </si>
  <si>
    <t>Ga6</t>
  </si>
  <si>
    <t>OE01919_Astroc_DIA_AA19_dil1n2_250ng</t>
  </si>
  <si>
    <t>Ga7</t>
  </si>
  <si>
    <t>OE01912_Astroc_DIA_AA01_dil1n2_250ng</t>
  </si>
  <si>
    <t>Gc3</t>
  </si>
  <si>
    <t>Gc</t>
  </si>
  <si>
    <t>Inf_c</t>
  </si>
  <si>
    <t>OE01927_Astroc_DIA_AA04_dil1n2_250ng</t>
  </si>
  <si>
    <t>Gc1</t>
  </si>
  <si>
    <t>OE01886_Astroc_DIA_AA07_dil1n2_250ng</t>
  </si>
  <si>
    <t>Gc2</t>
  </si>
  <si>
    <t>OE01914_Astroc_DIA_AA10_dil1n2_250ng</t>
  </si>
  <si>
    <t>Gc4</t>
  </si>
  <si>
    <t>OE01872_Astroc_DIA_pool1_dil1n2_250ng</t>
  </si>
  <si>
    <t>pool1</t>
  </si>
  <si>
    <t>pool</t>
  </si>
  <si>
    <t>unknown</t>
  </si>
  <si>
    <t>OE01883_Astroc_DIA_pool2_dil1n2_250ug</t>
  </si>
  <si>
    <t>pool2</t>
  </si>
  <si>
    <t>OE01894_Astroc_DIA_pool3_dil1n2_250ng</t>
  </si>
  <si>
    <t>pool3</t>
  </si>
  <si>
    <t>OE01905_Astroc_DIA_pool4_dil1n2_250ng</t>
  </si>
  <si>
    <t>pool4</t>
  </si>
  <si>
    <t>OE01916_Astroc_DIA_pool5_dil1n2_250ng</t>
  </si>
  <si>
    <t>pool5</t>
  </si>
  <si>
    <t>OE01929_Astroc_DIA_pool6_dil1n2_250ng</t>
  </si>
  <si>
    <t>pool6</t>
  </si>
  <si>
    <t>OE01881_Astroc_DIA_AA14_dil1n2_250ng</t>
  </si>
  <si>
    <t>Wa5</t>
  </si>
  <si>
    <t>Wa</t>
  </si>
  <si>
    <t>W</t>
  </si>
  <si>
    <t>OE01908_Astroc_DIA_AA17_dil1n2_250ng</t>
  </si>
  <si>
    <t>Wa6</t>
  </si>
  <si>
    <t>OE01888_Astroc_DIA_AA20_dil1n2_250ng</t>
  </si>
  <si>
    <t>Wa7</t>
  </si>
  <si>
    <t>OE01892_Astroc_DIA_AA02_dil1n2_250ng</t>
  </si>
  <si>
    <t>Wc3</t>
  </si>
  <si>
    <t>Wc</t>
  </si>
  <si>
    <t>OE01921_Astroc_DIA_AA05_dil1n2_250ng</t>
  </si>
  <si>
    <t>Wc1</t>
  </si>
  <si>
    <t>OE01877_Astroc_DIA_AA08_dil1n2_250ng</t>
  </si>
  <si>
    <t>Wc2</t>
  </si>
  <si>
    <t>OE01875_Astroc_DIA_AA11_dil1n2_250ng</t>
  </si>
  <si>
    <t>Wc4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</si>
</sst>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C00AA-45AD-40CC-83EA-50B4EFF551A6}">
  <dimension ref="A1:Q28"/>
  <sheetViews>
    <sheetView tabSelected="1" workbookViewId="0">
      <selection activeCell="C2" sqref="C2"/>
    </sheetView>
  </sheetViews>
  <sheetFormatPr defaultColWidth="9.140625" defaultRowHeight="15" x14ac:dyDescent="0.25"/>
  <cols>
    <col min="1" max="1" width="13.140625" customWidth="1"/>
    <col min="2" max="2" width="38.28515625" customWidth="1"/>
    <col min="3" max="3" width="10.570312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>
        <v>1</v>
      </c>
      <c r="B2" t="s">
        <v>17</v>
      </c>
      <c r="C2" s="2" t="s">
        <v>18</v>
      </c>
      <c r="D2" t="b">
        <f>FALSE()</f>
        <v>0</v>
      </c>
      <c r="E2" t="s">
        <v>19</v>
      </c>
      <c r="F2">
        <v>5</v>
      </c>
      <c r="G2" t="s">
        <v>20</v>
      </c>
      <c r="H2" t="s">
        <v>19</v>
      </c>
      <c r="I2" t="s">
        <v>21</v>
      </c>
      <c r="J2">
        <v>44</v>
      </c>
      <c r="K2" t="s">
        <v>19</v>
      </c>
      <c r="L2" t="s">
        <v>22</v>
      </c>
      <c r="M2" t="s">
        <v>23</v>
      </c>
      <c r="N2">
        <v>12</v>
      </c>
      <c r="O2">
        <v>15</v>
      </c>
      <c r="P2">
        <v>19905</v>
      </c>
      <c r="Q2">
        <v>4091</v>
      </c>
    </row>
    <row r="3" spans="1:17" x14ac:dyDescent="0.25">
      <c r="A3">
        <v>2</v>
      </c>
      <c r="B3" t="s">
        <v>24</v>
      </c>
      <c r="C3" s="2" t="s">
        <v>25</v>
      </c>
      <c r="D3" t="b">
        <f>TRUE()</f>
        <v>1</v>
      </c>
      <c r="E3" t="s">
        <v>19</v>
      </c>
      <c r="F3">
        <v>6</v>
      </c>
      <c r="G3" t="s">
        <v>20</v>
      </c>
      <c r="H3" t="s">
        <v>19</v>
      </c>
      <c r="I3" t="s">
        <v>21</v>
      </c>
      <c r="J3">
        <v>26</v>
      </c>
      <c r="K3" t="s">
        <v>19</v>
      </c>
      <c r="L3" t="s">
        <v>26</v>
      </c>
      <c r="M3" t="s">
        <v>23</v>
      </c>
      <c r="N3">
        <v>9</v>
      </c>
      <c r="O3">
        <v>18</v>
      </c>
      <c r="P3">
        <v>44780</v>
      </c>
      <c r="Q3">
        <v>5970</v>
      </c>
    </row>
    <row r="4" spans="1:17" x14ac:dyDescent="0.25">
      <c r="A4">
        <v>3</v>
      </c>
      <c r="B4" t="s">
        <v>27</v>
      </c>
      <c r="C4" s="2" t="s">
        <v>28</v>
      </c>
      <c r="D4" t="b">
        <f>FALSE()</f>
        <v>0</v>
      </c>
      <c r="E4" t="s">
        <v>19</v>
      </c>
      <c r="F4">
        <v>7</v>
      </c>
      <c r="G4" t="s">
        <v>20</v>
      </c>
      <c r="H4" t="s">
        <v>19</v>
      </c>
      <c r="I4" t="s">
        <v>21</v>
      </c>
      <c r="J4">
        <v>31</v>
      </c>
      <c r="K4" t="s">
        <v>19</v>
      </c>
      <c r="L4" t="s">
        <v>26</v>
      </c>
      <c r="M4" t="s">
        <v>23</v>
      </c>
      <c r="N4">
        <v>4</v>
      </c>
      <c r="O4">
        <v>21</v>
      </c>
      <c r="P4">
        <v>19673</v>
      </c>
      <c r="Q4">
        <v>3980</v>
      </c>
    </row>
    <row r="5" spans="1:17" x14ac:dyDescent="0.25">
      <c r="A5">
        <v>4</v>
      </c>
      <c r="B5" t="s">
        <v>29</v>
      </c>
      <c r="C5" s="2" t="s">
        <v>30</v>
      </c>
      <c r="D5" t="b">
        <f>FALSE()</f>
        <v>0</v>
      </c>
      <c r="E5" t="s">
        <v>19</v>
      </c>
      <c r="F5">
        <v>3</v>
      </c>
      <c r="G5" t="s">
        <v>31</v>
      </c>
      <c r="H5" t="s">
        <v>19</v>
      </c>
      <c r="I5" t="s">
        <v>32</v>
      </c>
      <c r="J5">
        <v>106</v>
      </c>
      <c r="K5" t="s">
        <v>19</v>
      </c>
      <c r="L5" t="s">
        <v>22</v>
      </c>
      <c r="M5" t="s">
        <v>33</v>
      </c>
      <c r="N5">
        <v>15</v>
      </c>
      <c r="O5">
        <v>3</v>
      </c>
      <c r="P5">
        <v>18944</v>
      </c>
      <c r="Q5">
        <v>4078</v>
      </c>
    </row>
    <row r="6" spans="1:17" x14ac:dyDescent="0.25">
      <c r="A6">
        <v>5</v>
      </c>
      <c r="B6" t="s">
        <v>34</v>
      </c>
      <c r="C6" s="2" t="s">
        <v>35</v>
      </c>
      <c r="D6" t="b">
        <f>FALSE()</f>
        <v>0</v>
      </c>
      <c r="E6" t="s">
        <v>19</v>
      </c>
      <c r="F6">
        <v>1</v>
      </c>
      <c r="G6" t="s">
        <v>31</v>
      </c>
      <c r="H6" t="s">
        <v>19</v>
      </c>
      <c r="I6" t="s">
        <v>32</v>
      </c>
      <c r="J6">
        <v>114</v>
      </c>
      <c r="K6" t="s">
        <v>19</v>
      </c>
      <c r="L6" t="s">
        <v>26</v>
      </c>
      <c r="M6" t="s">
        <v>36</v>
      </c>
      <c r="N6">
        <v>14</v>
      </c>
      <c r="O6">
        <v>6</v>
      </c>
      <c r="P6">
        <v>20373</v>
      </c>
      <c r="Q6">
        <v>4189</v>
      </c>
    </row>
    <row r="7" spans="1:17" x14ac:dyDescent="0.25">
      <c r="A7">
        <v>6</v>
      </c>
      <c r="B7" t="s">
        <v>37</v>
      </c>
      <c r="C7" s="2" t="s">
        <v>38</v>
      </c>
      <c r="D7" t="b">
        <f>TRUE()</f>
        <v>1</v>
      </c>
      <c r="E7" t="s">
        <v>19</v>
      </c>
      <c r="F7">
        <v>2</v>
      </c>
      <c r="G7" t="s">
        <v>31</v>
      </c>
      <c r="H7" t="s">
        <v>19</v>
      </c>
      <c r="I7" t="s">
        <v>32</v>
      </c>
      <c r="J7">
        <v>110</v>
      </c>
      <c r="K7" t="s">
        <v>19</v>
      </c>
      <c r="L7" t="s">
        <v>22</v>
      </c>
      <c r="M7" t="s">
        <v>36</v>
      </c>
      <c r="N7">
        <v>18</v>
      </c>
      <c r="O7">
        <v>9</v>
      </c>
      <c r="P7">
        <v>33349</v>
      </c>
      <c r="Q7">
        <v>5302</v>
      </c>
    </row>
    <row r="8" spans="1:17" x14ac:dyDescent="0.25">
      <c r="A8">
        <v>7</v>
      </c>
      <c r="B8" t="s">
        <v>39</v>
      </c>
      <c r="C8" s="2" t="s">
        <v>40</v>
      </c>
      <c r="D8" t="b">
        <f>TRUE()</f>
        <v>1</v>
      </c>
      <c r="E8" t="s">
        <v>19</v>
      </c>
      <c r="F8">
        <v>4</v>
      </c>
      <c r="G8" t="s">
        <v>31</v>
      </c>
      <c r="H8" t="s">
        <v>19</v>
      </c>
      <c r="I8" t="s">
        <v>32</v>
      </c>
      <c r="J8">
        <v>100</v>
      </c>
      <c r="K8" t="s">
        <v>19</v>
      </c>
      <c r="L8" t="s">
        <v>26</v>
      </c>
      <c r="M8" t="s">
        <v>41</v>
      </c>
      <c r="N8">
        <v>13</v>
      </c>
      <c r="O8">
        <v>12</v>
      </c>
      <c r="P8">
        <v>30299</v>
      </c>
      <c r="Q8">
        <v>5027</v>
      </c>
    </row>
    <row r="9" spans="1:17" x14ac:dyDescent="0.25">
      <c r="A9">
        <v>8</v>
      </c>
      <c r="B9" t="s">
        <v>42</v>
      </c>
      <c r="C9" s="2" t="s">
        <v>43</v>
      </c>
      <c r="D9" t="b">
        <f>FALSE()</f>
        <v>0</v>
      </c>
      <c r="E9" t="s">
        <v>44</v>
      </c>
      <c r="F9">
        <v>5</v>
      </c>
      <c r="G9" t="s">
        <v>45</v>
      </c>
      <c r="H9" t="s">
        <v>46</v>
      </c>
      <c r="I9" t="s">
        <v>21</v>
      </c>
      <c r="J9">
        <v>44</v>
      </c>
      <c r="K9" t="s">
        <v>47</v>
      </c>
      <c r="L9" t="s">
        <v>22</v>
      </c>
      <c r="M9" t="s">
        <v>23</v>
      </c>
      <c r="N9">
        <v>24</v>
      </c>
      <c r="O9">
        <v>13</v>
      </c>
      <c r="P9">
        <v>38704</v>
      </c>
      <c r="Q9">
        <v>5717</v>
      </c>
    </row>
    <row r="10" spans="1:17" x14ac:dyDescent="0.25">
      <c r="A10">
        <v>9</v>
      </c>
      <c r="B10" t="s">
        <v>48</v>
      </c>
      <c r="C10" s="2" t="s">
        <v>49</v>
      </c>
      <c r="D10" t="b">
        <f>FALSE()</f>
        <v>0</v>
      </c>
      <c r="E10" t="s">
        <v>44</v>
      </c>
      <c r="F10">
        <v>6</v>
      </c>
      <c r="G10" t="s">
        <v>45</v>
      </c>
      <c r="H10" t="s">
        <v>46</v>
      </c>
      <c r="I10" t="s">
        <v>21</v>
      </c>
      <c r="J10">
        <v>26</v>
      </c>
      <c r="K10" t="s">
        <v>47</v>
      </c>
      <c r="L10" t="s">
        <v>26</v>
      </c>
      <c r="M10" t="s">
        <v>23</v>
      </c>
      <c r="N10">
        <v>25</v>
      </c>
      <c r="O10">
        <v>16</v>
      </c>
      <c r="P10">
        <v>35292</v>
      </c>
      <c r="Q10">
        <v>5522</v>
      </c>
    </row>
    <row r="11" spans="1:17" x14ac:dyDescent="0.25">
      <c r="A11">
        <v>10</v>
      </c>
      <c r="B11" t="s">
        <v>50</v>
      </c>
      <c r="C11" s="2" t="s">
        <v>51</v>
      </c>
      <c r="D11" t="b">
        <f>FALSE()</f>
        <v>0</v>
      </c>
      <c r="E11" t="s">
        <v>44</v>
      </c>
      <c r="F11">
        <v>7</v>
      </c>
      <c r="G11" t="s">
        <v>45</v>
      </c>
      <c r="H11" t="s">
        <v>46</v>
      </c>
      <c r="I11" t="s">
        <v>21</v>
      </c>
      <c r="J11">
        <v>31</v>
      </c>
      <c r="K11" t="s">
        <v>47</v>
      </c>
      <c r="L11" t="s">
        <v>26</v>
      </c>
      <c r="M11" t="s">
        <v>23</v>
      </c>
      <c r="N11">
        <v>22</v>
      </c>
      <c r="O11">
        <v>19</v>
      </c>
      <c r="P11">
        <v>33768</v>
      </c>
      <c r="Q11">
        <v>5320</v>
      </c>
    </row>
    <row r="12" spans="1:17" x14ac:dyDescent="0.25">
      <c r="A12">
        <v>11</v>
      </c>
      <c r="B12" t="s">
        <v>52</v>
      </c>
      <c r="C12" s="2" t="s">
        <v>53</v>
      </c>
      <c r="D12" t="b">
        <f>FALSE()</f>
        <v>0</v>
      </c>
      <c r="E12" t="s">
        <v>54</v>
      </c>
      <c r="F12">
        <v>3</v>
      </c>
      <c r="G12" t="s">
        <v>55</v>
      </c>
      <c r="H12" t="s">
        <v>46</v>
      </c>
      <c r="I12" t="s">
        <v>32</v>
      </c>
      <c r="J12">
        <v>106</v>
      </c>
      <c r="K12" t="s">
        <v>47</v>
      </c>
      <c r="L12" t="s">
        <v>22</v>
      </c>
      <c r="M12" t="s">
        <v>33</v>
      </c>
      <c r="N12">
        <v>19</v>
      </c>
      <c r="O12">
        <v>1</v>
      </c>
      <c r="P12">
        <v>36190</v>
      </c>
      <c r="Q12">
        <v>5495</v>
      </c>
    </row>
    <row r="13" spans="1:17" x14ac:dyDescent="0.25">
      <c r="A13">
        <v>12</v>
      </c>
      <c r="B13" t="s">
        <v>56</v>
      </c>
      <c r="C13" s="2" t="s">
        <v>57</v>
      </c>
      <c r="D13" t="b">
        <f>FALSE()</f>
        <v>0</v>
      </c>
      <c r="E13" t="s">
        <v>54</v>
      </c>
      <c r="F13">
        <v>1</v>
      </c>
      <c r="G13" t="s">
        <v>55</v>
      </c>
      <c r="H13" t="s">
        <v>46</v>
      </c>
      <c r="I13" t="s">
        <v>32</v>
      </c>
      <c r="J13">
        <v>114</v>
      </c>
      <c r="K13" t="s">
        <v>47</v>
      </c>
      <c r="L13" t="s">
        <v>26</v>
      </c>
      <c r="M13" t="s">
        <v>36</v>
      </c>
      <c r="N13">
        <v>26</v>
      </c>
      <c r="O13">
        <v>4</v>
      </c>
      <c r="P13">
        <v>37652</v>
      </c>
      <c r="Q13">
        <v>5675</v>
      </c>
    </row>
    <row r="14" spans="1:17" x14ac:dyDescent="0.25">
      <c r="A14">
        <v>13</v>
      </c>
      <c r="B14" t="s">
        <v>58</v>
      </c>
      <c r="C14" s="2" t="s">
        <v>59</v>
      </c>
      <c r="D14" t="b">
        <f>FALSE()</f>
        <v>0</v>
      </c>
      <c r="E14" t="s">
        <v>54</v>
      </c>
      <c r="F14">
        <v>2</v>
      </c>
      <c r="G14" t="s">
        <v>55</v>
      </c>
      <c r="H14" t="s">
        <v>46</v>
      </c>
      <c r="I14" t="s">
        <v>32</v>
      </c>
      <c r="J14">
        <v>110</v>
      </c>
      <c r="K14" t="s">
        <v>47</v>
      </c>
      <c r="L14" t="s">
        <v>22</v>
      </c>
      <c r="M14" t="s">
        <v>36</v>
      </c>
      <c r="N14">
        <v>7</v>
      </c>
      <c r="O14">
        <v>7</v>
      </c>
      <c r="P14">
        <v>48895</v>
      </c>
      <c r="Q14">
        <v>6217</v>
      </c>
    </row>
    <row r="15" spans="1:17" x14ac:dyDescent="0.25">
      <c r="A15">
        <v>14</v>
      </c>
      <c r="B15" t="s">
        <v>60</v>
      </c>
      <c r="C15" s="2" t="s">
        <v>61</v>
      </c>
      <c r="D15" t="b">
        <f>FALSE()</f>
        <v>0</v>
      </c>
      <c r="E15" t="s">
        <v>54</v>
      </c>
      <c r="F15">
        <v>4</v>
      </c>
      <c r="G15" t="s">
        <v>55</v>
      </c>
      <c r="H15" t="s">
        <v>46</v>
      </c>
      <c r="I15" t="s">
        <v>32</v>
      </c>
      <c r="J15">
        <v>100</v>
      </c>
      <c r="K15" t="s">
        <v>47</v>
      </c>
      <c r="L15" t="s">
        <v>26</v>
      </c>
      <c r="M15" t="s">
        <v>41</v>
      </c>
      <c r="N15">
        <v>20</v>
      </c>
      <c r="O15">
        <v>10</v>
      </c>
      <c r="P15">
        <v>43030</v>
      </c>
      <c r="Q15">
        <v>5946</v>
      </c>
    </row>
    <row r="16" spans="1:17" x14ac:dyDescent="0.25">
      <c r="A16">
        <v>15</v>
      </c>
      <c r="B16" t="s">
        <v>62</v>
      </c>
      <c r="C16" s="2" t="s">
        <v>63</v>
      </c>
      <c r="D16" t="b">
        <f>TRUE()</f>
        <v>1</v>
      </c>
      <c r="E16" t="s">
        <v>64</v>
      </c>
      <c r="F16" t="s">
        <v>65</v>
      </c>
      <c r="G16" t="s">
        <v>65</v>
      </c>
      <c r="H16" t="s">
        <v>65</v>
      </c>
      <c r="I16" t="s">
        <v>65</v>
      </c>
      <c r="J16" t="s">
        <v>65</v>
      </c>
      <c r="K16" t="s">
        <v>65</v>
      </c>
      <c r="L16" t="s">
        <v>65</v>
      </c>
      <c r="M16" t="s">
        <v>65</v>
      </c>
      <c r="N16">
        <v>1</v>
      </c>
      <c r="O16">
        <v>22</v>
      </c>
      <c r="P16">
        <v>53449</v>
      </c>
      <c r="Q16">
        <v>6380</v>
      </c>
    </row>
    <row r="17" spans="1:17" x14ac:dyDescent="0.25">
      <c r="A17">
        <v>16</v>
      </c>
      <c r="B17" t="s">
        <v>66</v>
      </c>
      <c r="C17" s="2" t="s">
        <v>67</v>
      </c>
      <c r="D17" t="b">
        <f>TRUE()</f>
        <v>1</v>
      </c>
      <c r="E17" t="s">
        <v>64</v>
      </c>
      <c r="F17" t="s">
        <v>65</v>
      </c>
      <c r="G17" t="s">
        <v>65</v>
      </c>
      <c r="H17" t="s">
        <v>65</v>
      </c>
      <c r="I17" t="s">
        <v>65</v>
      </c>
      <c r="J17" t="s">
        <v>65</v>
      </c>
      <c r="K17" t="s">
        <v>65</v>
      </c>
      <c r="L17" t="s">
        <v>65</v>
      </c>
      <c r="M17" t="s">
        <v>65</v>
      </c>
      <c r="N17">
        <v>6</v>
      </c>
      <c r="O17">
        <v>22</v>
      </c>
      <c r="P17">
        <v>50215</v>
      </c>
      <c r="Q17">
        <v>6308</v>
      </c>
    </row>
    <row r="18" spans="1:17" x14ac:dyDescent="0.25">
      <c r="A18">
        <v>17</v>
      </c>
      <c r="B18" t="s">
        <v>68</v>
      </c>
      <c r="C18" s="2" t="s">
        <v>69</v>
      </c>
      <c r="D18" t="b">
        <f>TRUE()</f>
        <v>1</v>
      </c>
      <c r="E18" t="s">
        <v>64</v>
      </c>
      <c r="F18" t="s">
        <v>65</v>
      </c>
      <c r="G18" t="s">
        <v>65</v>
      </c>
      <c r="H18" t="s">
        <v>65</v>
      </c>
      <c r="I18" t="s">
        <v>65</v>
      </c>
      <c r="J18" t="s">
        <v>65</v>
      </c>
      <c r="K18" t="s">
        <v>65</v>
      </c>
      <c r="L18" t="s">
        <v>65</v>
      </c>
      <c r="M18" t="s">
        <v>65</v>
      </c>
      <c r="N18">
        <v>11</v>
      </c>
      <c r="O18">
        <v>22</v>
      </c>
      <c r="P18">
        <v>46965</v>
      </c>
      <c r="Q18">
        <v>6197</v>
      </c>
    </row>
    <row r="19" spans="1:17" x14ac:dyDescent="0.25">
      <c r="A19">
        <v>18</v>
      </c>
      <c r="B19" t="s">
        <v>70</v>
      </c>
      <c r="C19" s="2" t="s">
        <v>71</v>
      </c>
      <c r="D19" t="b">
        <f>TRUE()</f>
        <v>1</v>
      </c>
      <c r="E19" t="s">
        <v>64</v>
      </c>
      <c r="F19" t="s">
        <v>65</v>
      </c>
      <c r="G19" t="s">
        <v>65</v>
      </c>
      <c r="H19" t="s">
        <v>65</v>
      </c>
      <c r="I19" t="s">
        <v>65</v>
      </c>
      <c r="J19" t="s">
        <v>65</v>
      </c>
      <c r="K19" t="s">
        <v>65</v>
      </c>
      <c r="L19" t="s">
        <v>65</v>
      </c>
      <c r="M19" t="s">
        <v>65</v>
      </c>
      <c r="N19">
        <v>16</v>
      </c>
      <c r="O19">
        <v>22</v>
      </c>
      <c r="P19">
        <v>41825</v>
      </c>
      <c r="Q19">
        <v>5951</v>
      </c>
    </row>
    <row r="20" spans="1:17" x14ac:dyDescent="0.25">
      <c r="A20">
        <v>19</v>
      </c>
      <c r="B20" t="s">
        <v>72</v>
      </c>
      <c r="C20" s="2" t="s">
        <v>73</v>
      </c>
      <c r="D20" t="b">
        <f>TRUE()</f>
        <v>1</v>
      </c>
      <c r="E20" t="s">
        <v>64</v>
      </c>
      <c r="F20" t="s">
        <v>65</v>
      </c>
      <c r="G20" t="s">
        <v>65</v>
      </c>
      <c r="H20" t="s">
        <v>65</v>
      </c>
      <c r="I20" t="s">
        <v>65</v>
      </c>
      <c r="J20" t="s">
        <v>65</v>
      </c>
      <c r="K20" t="s">
        <v>65</v>
      </c>
      <c r="L20" t="s">
        <v>65</v>
      </c>
      <c r="M20" t="s">
        <v>65</v>
      </c>
      <c r="N20">
        <v>21</v>
      </c>
      <c r="O20">
        <v>22</v>
      </c>
      <c r="P20">
        <v>40659</v>
      </c>
      <c r="Q20">
        <v>5906</v>
      </c>
    </row>
    <row r="21" spans="1:17" x14ac:dyDescent="0.25">
      <c r="A21">
        <v>20</v>
      </c>
      <c r="B21" t="s">
        <v>74</v>
      </c>
      <c r="C21" s="2" t="s">
        <v>75</v>
      </c>
      <c r="D21" t="b">
        <f>TRUE()</f>
        <v>1</v>
      </c>
      <c r="E21" t="s">
        <v>64</v>
      </c>
      <c r="F21" t="s">
        <v>65</v>
      </c>
      <c r="G21" t="s">
        <v>65</v>
      </c>
      <c r="H21" t="s">
        <v>65</v>
      </c>
      <c r="I21" t="s">
        <v>65</v>
      </c>
      <c r="J21" t="s">
        <v>65</v>
      </c>
      <c r="K21" t="s">
        <v>65</v>
      </c>
      <c r="L21" t="s">
        <v>65</v>
      </c>
      <c r="M21" t="s">
        <v>65</v>
      </c>
      <c r="N21">
        <v>27</v>
      </c>
      <c r="O21">
        <v>22</v>
      </c>
      <c r="P21">
        <v>35556</v>
      </c>
      <c r="Q21">
        <v>5569</v>
      </c>
    </row>
    <row r="22" spans="1:17" x14ac:dyDescent="0.25">
      <c r="A22">
        <v>21</v>
      </c>
      <c r="B22" t="s">
        <v>76</v>
      </c>
      <c r="C22" s="2" t="s">
        <v>77</v>
      </c>
      <c r="D22" t="b">
        <f>FALSE()</f>
        <v>0</v>
      </c>
      <c r="E22" t="s">
        <v>78</v>
      </c>
      <c r="F22">
        <v>5</v>
      </c>
      <c r="G22" t="s">
        <v>45</v>
      </c>
      <c r="H22" t="s">
        <v>46</v>
      </c>
      <c r="I22" t="s">
        <v>21</v>
      </c>
      <c r="J22">
        <v>44</v>
      </c>
      <c r="K22" t="s">
        <v>79</v>
      </c>
      <c r="L22" t="s">
        <v>22</v>
      </c>
      <c r="M22" t="s">
        <v>23</v>
      </c>
      <c r="N22">
        <v>5</v>
      </c>
      <c r="O22">
        <v>14</v>
      </c>
      <c r="P22">
        <v>50823</v>
      </c>
      <c r="Q22">
        <v>6224</v>
      </c>
    </row>
    <row r="23" spans="1:17" x14ac:dyDescent="0.25">
      <c r="A23">
        <v>22</v>
      </c>
      <c r="B23" t="s">
        <v>80</v>
      </c>
      <c r="C23" s="2" t="s">
        <v>81</v>
      </c>
      <c r="D23" t="b">
        <f>FALSE()</f>
        <v>0</v>
      </c>
      <c r="E23" t="s">
        <v>78</v>
      </c>
      <c r="F23">
        <v>6</v>
      </c>
      <c r="G23" t="s">
        <v>45</v>
      </c>
      <c r="H23" t="s">
        <v>46</v>
      </c>
      <c r="I23" t="s">
        <v>21</v>
      </c>
      <c r="J23">
        <v>26</v>
      </c>
      <c r="K23" t="s">
        <v>79</v>
      </c>
      <c r="L23" t="s">
        <v>26</v>
      </c>
      <c r="M23" t="s">
        <v>23</v>
      </c>
      <c r="N23">
        <v>17</v>
      </c>
      <c r="O23">
        <v>17</v>
      </c>
      <c r="P23">
        <v>41017</v>
      </c>
      <c r="Q23">
        <v>5853</v>
      </c>
    </row>
    <row r="24" spans="1:17" x14ac:dyDescent="0.25">
      <c r="A24">
        <v>23</v>
      </c>
      <c r="B24" t="s">
        <v>82</v>
      </c>
      <c r="C24" s="2" t="s">
        <v>83</v>
      </c>
      <c r="D24" t="b">
        <f>FALSE()</f>
        <v>0</v>
      </c>
      <c r="E24" t="s">
        <v>78</v>
      </c>
      <c r="F24">
        <v>7</v>
      </c>
      <c r="G24" t="s">
        <v>45</v>
      </c>
      <c r="H24" t="s">
        <v>46</v>
      </c>
      <c r="I24" t="s">
        <v>21</v>
      </c>
      <c r="J24">
        <v>31</v>
      </c>
      <c r="K24" t="s">
        <v>79</v>
      </c>
      <c r="L24" t="s">
        <v>26</v>
      </c>
      <c r="M24" t="s">
        <v>23</v>
      </c>
      <c r="N24">
        <v>8</v>
      </c>
      <c r="O24">
        <v>20</v>
      </c>
      <c r="P24">
        <v>44375</v>
      </c>
      <c r="Q24">
        <v>5922</v>
      </c>
    </row>
    <row r="25" spans="1:17" x14ac:dyDescent="0.25">
      <c r="A25">
        <v>24</v>
      </c>
      <c r="B25" t="s">
        <v>84</v>
      </c>
      <c r="C25" s="2" t="s">
        <v>85</v>
      </c>
      <c r="D25" t="b">
        <f>FALSE()</f>
        <v>0</v>
      </c>
      <c r="E25" t="s">
        <v>86</v>
      </c>
      <c r="F25">
        <v>3</v>
      </c>
      <c r="G25" t="s">
        <v>55</v>
      </c>
      <c r="H25" t="s">
        <v>46</v>
      </c>
      <c r="I25" t="s">
        <v>32</v>
      </c>
      <c r="J25">
        <v>106</v>
      </c>
      <c r="K25" t="s">
        <v>79</v>
      </c>
      <c r="L25" t="s">
        <v>22</v>
      </c>
      <c r="M25" t="s">
        <v>33</v>
      </c>
      <c r="N25">
        <v>10</v>
      </c>
      <c r="O25">
        <v>2</v>
      </c>
      <c r="P25">
        <v>45459</v>
      </c>
      <c r="Q25">
        <v>6005</v>
      </c>
    </row>
    <row r="26" spans="1:17" x14ac:dyDescent="0.25">
      <c r="A26">
        <v>25</v>
      </c>
      <c r="B26" t="s">
        <v>87</v>
      </c>
      <c r="C26" s="2" t="s">
        <v>88</v>
      </c>
      <c r="D26" t="b">
        <f>FALSE()</f>
        <v>0</v>
      </c>
      <c r="E26" t="s">
        <v>86</v>
      </c>
      <c r="F26">
        <v>1</v>
      </c>
      <c r="G26" t="s">
        <v>55</v>
      </c>
      <c r="H26" t="s">
        <v>46</v>
      </c>
      <c r="I26" t="s">
        <v>32</v>
      </c>
      <c r="J26">
        <v>114</v>
      </c>
      <c r="K26" t="s">
        <v>79</v>
      </c>
      <c r="L26" t="s">
        <v>26</v>
      </c>
      <c r="M26" t="s">
        <v>36</v>
      </c>
      <c r="N26">
        <v>23</v>
      </c>
      <c r="O26">
        <v>5</v>
      </c>
      <c r="P26">
        <v>40096</v>
      </c>
      <c r="Q26">
        <v>5864</v>
      </c>
    </row>
    <row r="27" spans="1:17" x14ac:dyDescent="0.25">
      <c r="A27">
        <v>26</v>
      </c>
      <c r="B27" t="s">
        <v>89</v>
      </c>
      <c r="C27" s="2" t="s">
        <v>90</v>
      </c>
      <c r="D27" t="b">
        <f>FALSE()</f>
        <v>0</v>
      </c>
      <c r="E27" t="s">
        <v>86</v>
      </c>
      <c r="F27">
        <v>2</v>
      </c>
      <c r="G27" t="s">
        <v>55</v>
      </c>
      <c r="H27" t="s">
        <v>46</v>
      </c>
      <c r="I27" t="s">
        <v>32</v>
      </c>
      <c r="J27">
        <v>110</v>
      </c>
      <c r="K27" t="s">
        <v>79</v>
      </c>
      <c r="L27" t="s">
        <v>22</v>
      </c>
      <c r="M27" t="s">
        <v>36</v>
      </c>
      <c r="N27">
        <v>3</v>
      </c>
      <c r="O27">
        <v>8</v>
      </c>
      <c r="P27">
        <v>53898</v>
      </c>
      <c r="Q27">
        <v>6405</v>
      </c>
    </row>
    <row r="28" spans="1:17" x14ac:dyDescent="0.25">
      <c r="A28">
        <v>27</v>
      </c>
      <c r="B28" t="s">
        <v>91</v>
      </c>
      <c r="C28" s="2" t="s">
        <v>92</v>
      </c>
      <c r="D28" t="b">
        <f>FALSE()</f>
        <v>0</v>
      </c>
      <c r="E28" t="s">
        <v>86</v>
      </c>
      <c r="F28">
        <v>4</v>
      </c>
      <c r="G28" t="s">
        <v>55</v>
      </c>
      <c r="H28" t="s">
        <v>46</v>
      </c>
      <c r="I28" t="s">
        <v>32</v>
      </c>
      <c r="J28">
        <v>100</v>
      </c>
      <c r="K28" t="s">
        <v>79</v>
      </c>
      <c r="L28" t="s">
        <v>26</v>
      </c>
      <c r="M28" t="s">
        <v>41</v>
      </c>
      <c r="N28">
        <v>2</v>
      </c>
      <c r="O28">
        <v>11</v>
      </c>
      <c r="P28">
        <v>51903</v>
      </c>
      <c r="Q28">
        <v>6222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Ariel Espinosa Rodriguez</dc:creator>
  <cp:lastModifiedBy>Luis Ariel Espinosa Rodriguez</cp:lastModifiedBy>
  <dcterms:created xsi:type="dcterms:W3CDTF">2026-05-04T13:44:38Z</dcterms:created>
  <dcterms:modified xsi:type="dcterms:W3CDTF">2026-05-04T13:45:27Z</dcterms:modified>
</cp:coreProperties>
</file>